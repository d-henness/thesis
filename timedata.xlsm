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ylan/thesis/"/>
    </mc:Choice>
  </mc:AlternateContent>
  <bookViews>
    <workbookView xWindow="16780" yWindow="1220" windowWidth="30160" windowHeight="1760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4" i="1" l="1"/>
  <c r="P33" i="1"/>
  <c r="P31" i="1"/>
  <c r="P32" i="1"/>
  <c r="U31" i="1"/>
  <c r="U30" i="1"/>
  <c r="U29" i="1"/>
  <c r="U28" i="1"/>
  <c r="U27" i="1"/>
  <c r="U26" i="1"/>
  <c r="U25" i="1"/>
  <c r="U24" i="1"/>
  <c r="T20" i="1"/>
  <c r="T31" i="1"/>
  <c r="T30" i="1"/>
  <c r="T29" i="1"/>
  <c r="T28" i="1"/>
  <c r="T27" i="1"/>
  <c r="T26" i="1"/>
  <c r="T25" i="1"/>
  <c r="T24" i="1"/>
  <c r="T19" i="1"/>
  <c r="T18" i="1"/>
  <c r="T17" i="1"/>
  <c r="T16" i="1"/>
  <c r="T15" i="1"/>
  <c r="T14" i="1"/>
  <c r="T13" i="1"/>
  <c r="S20" i="1"/>
  <c r="S19" i="1"/>
  <c r="S18" i="1"/>
  <c r="S17" i="1"/>
  <c r="S16" i="1"/>
  <c r="S15" i="1"/>
  <c r="S14" i="1"/>
  <c r="S13" i="1"/>
  <c r="M20" i="1"/>
  <c r="M19" i="1"/>
  <c r="M18" i="1"/>
  <c r="M17" i="1"/>
  <c r="M16" i="1"/>
  <c r="M15" i="1"/>
  <c r="M14" i="1"/>
  <c r="M13" i="1"/>
  <c r="L20" i="1"/>
  <c r="L19" i="1"/>
  <c r="L18" i="1"/>
  <c r="L17" i="1"/>
  <c r="L16" i="1"/>
  <c r="L15" i="1"/>
  <c r="L14" i="1"/>
  <c r="L13" i="1"/>
  <c r="R9" i="1"/>
  <c r="R8" i="1"/>
  <c r="R7" i="1"/>
  <c r="R6" i="1"/>
  <c r="R5" i="1"/>
  <c r="R4" i="1"/>
  <c r="R3" i="1"/>
  <c r="R2" i="1"/>
  <c r="N9" i="1"/>
  <c r="N8" i="1"/>
  <c r="N7" i="1"/>
  <c r="N6" i="1"/>
  <c r="N5" i="1"/>
  <c r="N4" i="1"/>
  <c r="N3" i="1"/>
  <c r="N2" i="1"/>
  <c r="O9" i="1"/>
  <c r="O8" i="1"/>
  <c r="O7" i="1"/>
  <c r="O6" i="1"/>
  <c r="O5" i="1"/>
  <c r="O4" i="1"/>
  <c r="O3" i="1"/>
  <c r="O2" i="1"/>
  <c r="J9" i="1"/>
  <c r="K9" i="1"/>
  <c r="J8" i="1"/>
  <c r="K8" i="1"/>
  <c r="J7" i="1"/>
  <c r="K7" i="1"/>
  <c r="J6" i="1"/>
  <c r="K6" i="1"/>
  <c r="J5" i="1"/>
  <c r="K5" i="1"/>
  <c r="J4" i="1"/>
  <c r="K4" i="1"/>
  <c r="J3" i="1"/>
  <c r="K3" i="1"/>
  <c r="J2" i="1"/>
  <c r="K2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<sst xmlns="http://schemas.openxmlformats.org/spreadsheetml/2006/main" count="27" uniqueCount="25">
  <si>
    <t>z</t>
  </si>
  <si>
    <t>s</t>
  </si>
  <si>
    <t>p-</t>
  </si>
  <si>
    <t>p+</t>
  </si>
  <si>
    <t>d-</t>
  </si>
  <si>
    <t>d+</t>
  </si>
  <si>
    <t>nbs</t>
  </si>
  <si>
    <t>n2eints</t>
  </si>
  <si>
    <t>eint2gpu(ms)</t>
  </si>
  <si>
    <t>log(n2eints)</t>
  </si>
  <si>
    <t>eint2cpu(ms)</t>
  </si>
  <si>
    <t>times faster</t>
  </si>
  <si>
    <t>total_time_cpu(s)</t>
  </si>
  <si>
    <t>formpqcpu(ms)</t>
  </si>
  <si>
    <t>formpqcpu iterations</t>
  </si>
  <si>
    <t>formpqcpu per iter(ms)</t>
  </si>
  <si>
    <t>formpqgpu_old per iter(ms)</t>
  </si>
  <si>
    <t>formpqgpu_old iter</t>
  </si>
  <si>
    <t>total time gpu old(s)</t>
  </si>
  <si>
    <t>formpqgpu_new per iter(ms)</t>
  </si>
  <si>
    <t>formpqgpu_new iter</t>
  </si>
  <si>
    <t>total time gpu new(s)</t>
  </si>
  <si>
    <t>lmpqrs_array(ms)</t>
  </si>
  <si>
    <t>Total GPU time (ms)</t>
  </si>
  <si>
    <t>Total sppedup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</si>
</sst>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34"/>
  <sheetViews>
    <sheetView tabSelected="1" showRuler="0" topLeftCell="K1" workbookViewId="0">
      <selection activeCell="P34" sqref="P34"/>
    </sheetView>
  </sheetViews>
  <sheetFormatPr baseColWidth="10" defaultRowHeight="16" x14ac:dyDescent="0.2"/>
  <cols>
    <col min="1" max="8" width="3.1640625" bestFit="1" customWidth="1"/>
    <col min="9" max="9" width="4.1640625" bestFit="1" customWidth="1"/>
    <col min="10" max="10" width="10.6640625" bestFit="1" customWidth="1"/>
    <col min="11" max="11" width="12.1640625" bestFit="1" customWidth="1"/>
    <col min="12" max="12" width="17.5" bestFit="1" customWidth="1"/>
    <col min="13" max="13" width="12.6640625" bestFit="1" customWidth="1"/>
    <col min="14" max="14" width="11.83203125" bestFit="1" customWidth="1"/>
    <col min="15" max="15" width="12.1640625" bestFit="1" customWidth="1"/>
    <col min="16" max="16" width="18.33203125" bestFit="1" customWidth="1"/>
    <col min="17" max="17" width="13.6640625" bestFit="1" customWidth="1"/>
    <col min="18" max="18" width="20.1640625" bestFit="1" customWidth="1"/>
    <col min="19" max="19" width="15.5" bestFit="1" customWidth="1"/>
    <col min="20" max="20" width="23.83203125" bestFit="1" customWidth="1"/>
    <col min="21" max="21" width="17" bestFit="1" customWidth="1"/>
    <col min="22" max="22" width="17.5" bestFit="1" customWidth="1"/>
    <col min="23" max="23" width="23.83203125" bestFit="1" customWidth="1"/>
    <col min="24" max="24" width="17" bestFit="1" customWidth="1"/>
    <col min="25" max="25" width="17.5" bestFit="1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9</v>
      </c>
      <c r="L1" t="s">
        <v>22</v>
      </c>
      <c r="M1" t="s">
        <v>8</v>
      </c>
      <c r="N1" t="s">
        <v>10</v>
      </c>
      <c r="O1" t="s">
        <v>11</v>
      </c>
      <c r="P1" t="s">
        <v>14</v>
      </c>
      <c r="Q1" t="s">
        <v>13</v>
      </c>
      <c r="R1" t="s">
        <v>15</v>
      </c>
      <c r="S1" t="s">
        <v>12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</row>
    <row r="2" spans="1:25" x14ac:dyDescent="0.2">
      <c r="A2">
        <v>86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f>SUM(B2:H2)</f>
        <v>70</v>
      </c>
      <c r="J2">
        <f>SUM1toN((SUM1toN(B2)+SUM1toN(C2)+SUM1toN(D2)+SUM1toN(E2)+SUM1toN(F2)+SUM1toN(G2)+SUM1toN(H2)))</f>
        <v>74305</v>
      </c>
      <c r="K2">
        <f>LOG(J2)</f>
        <v>4.871018038516274</v>
      </c>
      <c r="L2">
        <v>0.18406</v>
      </c>
      <c r="M2">
        <v>4.6821000000000002</v>
      </c>
      <c r="N2">
        <f>39.997 + 9.9993 + 9.9993</f>
        <v>59.995599999999996</v>
      </c>
      <c r="O2">
        <f>N2/M2</f>
        <v>12.813822857264901</v>
      </c>
      <c r="P2">
        <v>21</v>
      </c>
      <c r="Q2">
        <v>39.997</v>
      </c>
      <c r="R2">
        <f>Q2/P2</f>
        <v>1.9046190476190477</v>
      </c>
      <c r="S2">
        <v>0.124</v>
      </c>
      <c r="T2">
        <v>2.9464000000000001</v>
      </c>
      <c r="U2">
        <v>21</v>
      </c>
      <c r="V2">
        <v>0.78200000000000003</v>
      </c>
      <c r="W2">
        <v>6.0693000000000001</v>
      </c>
      <c r="X2">
        <v>21</v>
      </c>
      <c r="Y2">
        <v>0.84199999999999997</v>
      </c>
    </row>
    <row r="3" spans="1:25" x14ac:dyDescent="0.2">
      <c r="A3">
        <v>86</v>
      </c>
      <c r="B3">
        <v>15</v>
      </c>
      <c r="C3">
        <v>15</v>
      </c>
      <c r="D3">
        <v>15</v>
      </c>
      <c r="E3">
        <v>15</v>
      </c>
      <c r="F3">
        <v>15</v>
      </c>
      <c r="G3">
        <v>15</v>
      </c>
      <c r="H3">
        <v>15</v>
      </c>
      <c r="I3">
        <f>SUM(B3:H3)</f>
        <v>105</v>
      </c>
      <c r="J3">
        <f>SUM1toN((SUM1toN(B3)+SUM1toN(C3)+SUM1toN(D3)+SUM1toN(E3)+SUM1toN(F3)+SUM1toN(G3)+SUM1toN(H3)))</f>
        <v>353220</v>
      </c>
      <c r="K3">
        <f>LOG(J3)</f>
        <v>5.5480452861958129</v>
      </c>
      <c r="L3">
        <v>0.71440999999999999</v>
      </c>
      <c r="M3">
        <v>18.056000000000001</v>
      </c>
      <c r="N3">
        <f>230 + 60.001 + 30</f>
        <v>320.00099999999998</v>
      </c>
      <c r="O3">
        <f>N3/M3</f>
        <v>17.722696056712447</v>
      </c>
      <c r="P3">
        <v>19</v>
      </c>
      <c r="Q3">
        <v>110</v>
      </c>
      <c r="R3">
        <f>Q3/P3</f>
        <v>5.7894736842105265</v>
      </c>
      <c r="S3">
        <v>0.49299999999999999</v>
      </c>
      <c r="T3">
        <v>7.5633999999999997</v>
      </c>
      <c r="U3">
        <v>19</v>
      </c>
      <c r="V3">
        <v>1.07</v>
      </c>
      <c r="W3">
        <v>14.25</v>
      </c>
      <c r="X3">
        <v>19</v>
      </c>
      <c r="Y3">
        <v>1.196</v>
      </c>
    </row>
    <row r="4" spans="1:25" x14ac:dyDescent="0.2">
      <c r="A4">
        <v>86</v>
      </c>
      <c r="B4">
        <v>20</v>
      </c>
      <c r="C4">
        <v>20</v>
      </c>
      <c r="D4">
        <v>20</v>
      </c>
      <c r="E4">
        <v>20</v>
      </c>
      <c r="F4">
        <v>20</v>
      </c>
      <c r="G4">
        <v>20</v>
      </c>
      <c r="H4">
        <v>20</v>
      </c>
      <c r="I4">
        <f>SUM(B4:H4)</f>
        <v>140</v>
      </c>
      <c r="J4">
        <f>SUM1toN((SUM1toN(B4)+SUM1toN(C4)+SUM1toN(D4)+SUM1toN(E4)+SUM1toN(F4)+SUM1toN(G4)+SUM1toN(H4)))</f>
        <v>1081185</v>
      </c>
      <c r="K4">
        <f>LOG(J4)</f>
        <v>6.033900011811725</v>
      </c>
      <c r="L4">
        <v>2.2136999999999998</v>
      </c>
      <c r="M4">
        <v>52.512</v>
      </c>
      <c r="N4">
        <f>560 + 250 + 170</f>
        <v>980</v>
      </c>
      <c r="O4">
        <f>N4/M4</f>
        <v>18.662400975015235</v>
      </c>
      <c r="P4">
        <v>19</v>
      </c>
      <c r="Q4">
        <v>350</v>
      </c>
      <c r="R4">
        <f>Q4/P4</f>
        <v>18.421052631578949</v>
      </c>
      <c r="S4">
        <v>1.4430000000000001</v>
      </c>
      <c r="T4">
        <v>15.349</v>
      </c>
      <c r="U4">
        <v>19</v>
      </c>
      <c r="V4">
        <v>1.518</v>
      </c>
      <c r="W4">
        <v>27.818999999999999</v>
      </c>
      <c r="X4">
        <v>19</v>
      </c>
      <c r="Y4">
        <v>1.7569999999999999</v>
      </c>
    </row>
    <row r="5" spans="1:25" x14ac:dyDescent="0.2">
      <c r="A5">
        <v>86</v>
      </c>
      <c r="B5">
        <v>25</v>
      </c>
      <c r="C5">
        <v>25</v>
      </c>
      <c r="D5">
        <v>25</v>
      </c>
      <c r="E5">
        <v>25</v>
      </c>
      <c r="F5">
        <v>25</v>
      </c>
      <c r="G5">
        <v>25</v>
      </c>
      <c r="H5">
        <v>25</v>
      </c>
      <c r="I5">
        <f>SUM(B5:H5)</f>
        <v>175</v>
      </c>
      <c r="J5">
        <f>SUM1toN((SUM1toN(B5)+SUM1toN(C5)+SUM1toN(D5)+SUM1toN(E5)+SUM1toN(F5)+SUM1toN(G5)+SUM1toN(H5)))</f>
        <v>2588950</v>
      </c>
      <c r="K5">
        <f>LOG(J5)</f>
        <v>6.4131236630521835</v>
      </c>
      <c r="L5">
        <v>5.3615000000000004</v>
      </c>
      <c r="M5">
        <v>118.2</v>
      </c>
      <c r="N5">
        <f>1480 + 570 + 310</f>
        <v>2360</v>
      </c>
      <c r="O5">
        <f>N5/M5</f>
        <v>19.966159052453467</v>
      </c>
      <c r="P5">
        <v>19</v>
      </c>
      <c r="Q5">
        <v>750</v>
      </c>
      <c r="R5">
        <f>Q5/P5</f>
        <v>39.473684210526315</v>
      </c>
      <c r="S5">
        <v>3.38</v>
      </c>
      <c r="T5">
        <v>26.32</v>
      </c>
      <c r="U5">
        <v>19</v>
      </c>
      <c r="V5">
        <v>2.081</v>
      </c>
      <c r="W5">
        <v>53.951999999999998</v>
      </c>
      <c r="X5">
        <v>19</v>
      </c>
      <c r="Y5">
        <v>2.5870000000000002</v>
      </c>
    </row>
    <row r="6" spans="1:25" x14ac:dyDescent="0.2">
      <c r="A6">
        <v>86</v>
      </c>
      <c r="B6">
        <v>30</v>
      </c>
      <c r="C6">
        <v>30</v>
      </c>
      <c r="D6">
        <v>30</v>
      </c>
      <c r="E6">
        <v>30</v>
      </c>
      <c r="F6">
        <v>30</v>
      </c>
      <c r="G6">
        <v>30</v>
      </c>
      <c r="H6">
        <v>30</v>
      </c>
      <c r="I6">
        <f>SUM(B6:H6)</f>
        <v>210</v>
      </c>
      <c r="J6">
        <f>SUM1toN((SUM1toN(B6)+SUM1toN(C6)+SUM1toN(D6)+SUM1toN(E6)+SUM1toN(F6)+SUM1toN(G6)+SUM1toN(H6)))</f>
        <v>5299140</v>
      </c>
      <c r="K6">
        <f>LOG(J6)</f>
        <v>6.7242053934573933</v>
      </c>
      <c r="L6">
        <v>11.076000000000001</v>
      </c>
      <c r="M6">
        <v>237.96</v>
      </c>
      <c r="N6">
        <f>3140 + 1090 + 680</f>
        <v>4910</v>
      </c>
      <c r="O6">
        <f>N6/M6</f>
        <v>20.633719952933266</v>
      </c>
      <c r="P6">
        <v>19</v>
      </c>
      <c r="Q6">
        <v>1540</v>
      </c>
      <c r="R6">
        <f>Q6/P6</f>
        <v>81.05263157894737</v>
      </c>
      <c r="S6">
        <v>6.7859999999999996</v>
      </c>
      <c r="T6">
        <v>39.457000000000001</v>
      </c>
      <c r="U6">
        <v>19</v>
      </c>
      <c r="V6">
        <v>2.722</v>
      </c>
      <c r="W6">
        <v>96.135000000000005</v>
      </c>
      <c r="X6">
        <v>19</v>
      </c>
      <c r="Y6">
        <v>3.8039999999999998</v>
      </c>
    </row>
    <row r="7" spans="1:25" x14ac:dyDescent="0.2">
      <c r="A7">
        <v>86</v>
      </c>
      <c r="B7">
        <v>35</v>
      </c>
      <c r="C7">
        <v>35</v>
      </c>
      <c r="D7">
        <v>35</v>
      </c>
      <c r="E7">
        <v>35</v>
      </c>
      <c r="F7">
        <v>35</v>
      </c>
      <c r="G7">
        <v>35</v>
      </c>
      <c r="H7">
        <v>35</v>
      </c>
      <c r="I7">
        <f>SUM(B7:H7)</f>
        <v>245</v>
      </c>
      <c r="J7">
        <f>SUM1toN((SUM1toN(B7)+SUM1toN(C7)+SUM1toN(D7)+SUM1toN(E7)+SUM1toN(F7)+SUM1toN(G7)+SUM1toN(H7)))</f>
        <v>9726255</v>
      </c>
      <c r="K7">
        <f>LOG(J7)</f>
        <v>6.9879456515822644</v>
      </c>
      <c r="L7">
        <v>20.818000000000001</v>
      </c>
      <c r="M7">
        <v>437.88</v>
      </c>
      <c r="N7">
        <f>5320 + 2280 + 1280</f>
        <v>8880</v>
      </c>
      <c r="O7">
        <f>N7/M7</f>
        <v>20.27952863798301</v>
      </c>
      <c r="P7">
        <v>24</v>
      </c>
      <c r="Q7">
        <v>3660</v>
      </c>
      <c r="R7">
        <f>Q7/P7</f>
        <v>152.5</v>
      </c>
      <c r="S7">
        <v>13.298</v>
      </c>
      <c r="T7">
        <v>88.784999999999997</v>
      </c>
      <c r="U7">
        <v>19</v>
      </c>
      <c r="V7">
        <v>4.1479999999999997</v>
      </c>
      <c r="W7">
        <v>173.64</v>
      </c>
      <c r="X7">
        <v>19</v>
      </c>
      <c r="Y7">
        <v>5.7789999999999999</v>
      </c>
    </row>
    <row r="8" spans="1:25" x14ac:dyDescent="0.2">
      <c r="A8">
        <v>86</v>
      </c>
      <c r="B8">
        <v>40</v>
      </c>
      <c r="C8">
        <v>40</v>
      </c>
      <c r="D8">
        <v>40</v>
      </c>
      <c r="E8">
        <v>40</v>
      </c>
      <c r="F8">
        <v>40</v>
      </c>
      <c r="G8">
        <v>40</v>
      </c>
      <c r="H8">
        <v>40</v>
      </c>
      <c r="I8">
        <f>SUM(B8:H8)</f>
        <v>280</v>
      </c>
      <c r="J8">
        <f>SUM1toN((SUM1toN(B8)+SUM1toN(C8)+SUM1toN(D8)+SUM1toN(E8)+SUM1toN(F8)+SUM1toN(G8)+SUM1toN(H8)))</f>
        <v>16476670</v>
      </c>
      <c r="K8">
        <f>LOG(J8)</f>
        <v>7.2168694436016114</v>
      </c>
      <c r="L8">
        <v>35.962000000000003</v>
      </c>
      <c r="M8">
        <v>730.24</v>
      </c>
      <c r="N8">
        <f>8800 + 3770 +2570</f>
        <v>15140</v>
      </c>
      <c r="O8">
        <f>N8/M8</f>
        <v>20.732909728308503</v>
      </c>
      <c r="P8">
        <v>26</v>
      </c>
      <c r="Q8">
        <v>6930</v>
      </c>
      <c r="R8">
        <f>Q8/P8</f>
        <v>266.53846153846155</v>
      </c>
      <c r="S8">
        <v>23.234000000000002</v>
      </c>
      <c r="T8">
        <v>135.63999999999999</v>
      </c>
      <c r="U8">
        <v>19</v>
      </c>
      <c r="V8">
        <v>5.5789999999999997</v>
      </c>
      <c r="W8">
        <v>291.79000000000002</v>
      </c>
      <c r="X8">
        <v>19</v>
      </c>
      <c r="Y8">
        <v>8.6080000000000005</v>
      </c>
    </row>
    <row r="9" spans="1:25" x14ac:dyDescent="0.2">
      <c r="A9">
        <v>86</v>
      </c>
      <c r="B9">
        <v>45</v>
      </c>
      <c r="C9">
        <v>45</v>
      </c>
      <c r="D9">
        <v>45</v>
      </c>
      <c r="E9">
        <v>45</v>
      </c>
      <c r="F9">
        <v>45</v>
      </c>
      <c r="G9">
        <v>45</v>
      </c>
      <c r="H9">
        <v>45</v>
      </c>
      <c r="I9">
        <f>SUM(B9:H9)</f>
        <v>315</v>
      </c>
      <c r="J9">
        <f>SUM1toN((SUM1toN(B9)+SUM1toN(C9)+SUM1toN(D9)+SUM1toN(E9)+SUM1toN(F9)+SUM1toN(G9)+SUM1toN(H9)))</f>
        <v>26248635</v>
      </c>
      <c r="K9">
        <f>LOG(J9)</f>
        <v>7.4191067238417299</v>
      </c>
      <c r="L9">
        <v>57.997999999999998</v>
      </c>
      <c r="M9">
        <v>1159.98</v>
      </c>
      <c r="N9">
        <f>15130 + 5600 + 3450</f>
        <v>24180</v>
      </c>
      <c r="O9">
        <f>N9/M9</f>
        <v>20.845186985982515</v>
      </c>
      <c r="P9">
        <v>24</v>
      </c>
      <c r="Q9">
        <v>10230</v>
      </c>
      <c r="R9">
        <f>Q9/P9</f>
        <v>426.25</v>
      </c>
      <c r="S9">
        <v>35.634</v>
      </c>
      <c r="T9">
        <v>193.99</v>
      </c>
      <c r="U9">
        <v>19</v>
      </c>
      <c r="V9">
        <v>7.4710000000000001</v>
      </c>
      <c r="W9">
        <v>459.38</v>
      </c>
      <c r="X9">
        <v>19</v>
      </c>
      <c r="Y9">
        <v>12.593</v>
      </c>
    </row>
    <row r="12" spans="1:25" x14ac:dyDescent="0.2">
      <c r="L12" t="s">
        <v>23</v>
      </c>
      <c r="M12" t="s">
        <v>24</v>
      </c>
    </row>
    <row r="13" spans="1:25" x14ac:dyDescent="0.2">
      <c r="L13">
        <f>L2+M2</f>
        <v>4.8661599999999998</v>
      </c>
      <c r="M13">
        <f>N2/L13</f>
        <v>12.329146596083975</v>
      </c>
      <c r="S13">
        <f>R2/W2</f>
        <v>0.31381197957244616</v>
      </c>
      <c r="T13">
        <f>R2/T2</f>
        <v>0.64642242995487631</v>
      </c>
    </row>
    <row r="14" spans="1:25" x14ac:dyDescent="0.2">
      <c r="L14">
        <f>L3+M3</f>
        <v>18.770410000000002</v>
      </c>
      <c r="M14">
        <f>N3/L14</f>
        <v>17.048162506839219</v>
      </c>
      <c r="S14">
        <f>R3/W3</f>
        <v>0.40627885503231764</v>
      </c>
      <c r="T14">
        <f>R3/T3</f>
        <v>0.76545914327029208</v>
      </c>
    </row>
    <row r="15" spans="1:25" x14ac:dyDescent="0.2">
      <c r="L15">
        <f>L4+M4</f>
        <v>54.725700000000003</v>
      </c>
      <c r="M15">
        <f>N4/L15</f>
        <v>17.907491361462711</v>
      </c>
      <c r="S15">
        <f>R4/W4</f>
        <v>0.66217522670041873</v>
      </c>
      <c r="T15">
        <f>R4/T4</f>
        <v>1.2001467608038927</v>
      </c>
    </row>
    <row r="16" spans="1:25" x14ac:dyDescent="0.2">
      <c r="L16">
        <f>L5+M5</f>
        <v>123.56150000000001</v>
      </c>
      <c r="M16">
        <f>N5/L16</f>
        <v>19.09980050420236</v>
      </c>
      <c r="S16">
        <f>R5/W5</f>
        <v>0.73164450271586445</v>
      </c>
      <c r="T16">
        <f>R5/T5</f>
        <v>1.499760038393857</v>
      </c>
    </row>
    <row r="17" spans="12:21" x14ac:dyDescent="0.2">
      <c r="L17">
        <f>L6+M6</f>
        <v>249.036</v>
      </c>
      <c r="M17">
        <f>N6/L17</f>
        <v>19.716024992370581</v>
      </c>
      <c r="S17">
        <f>R6/W6</f>
        <v>0.84311261849427743</v>
      </c>
      <c r="T17">
        <f>R6/T6</f>
        <v>2.0542015758660659</v>
      </c>
    </row>
    <row r="18" spans="12:21" x14ac:dyDescent="0.2">
      <c r="L18">
        <f>L7+M7</f>
        <v>458.69799999999998</v>
      </c>
      <c r="M18">
        <f>N7/L18</f>
        <v>19.359142616710777</v>
      </c>
      <c r="S18">
        <f>R7/W7</f>
        <v>0.87825385855793603</v>
      </c>
      <c r="T18">
        <f>R7/T7</f>
        <v>1.7176324829644647</v>
      </c>
    </row>
    <row r="19" spans="12:21" x14ac:dyDescent="0.2">
      <c r="L19">
        <f>L8+M8</f>
        <v>766.202</v>
      </c>
      <c r="M19">
        <f>N8/L19</f>
        <v>19.759802245360884</v>
      </c>
      <c r="S19">
        <f>R8/W8</f>
        <v>0.91345989080661272</v>
      </c>
      <c r="T19">
        <f>R8/T8</f>
        <v>1.9650432139373457</v>
      </c>
    </row>
    <row r="20" spans="12:21" x14ac:dyDescent="0.2">
      <c r="L20">
        <f>L9+M9</f>
        <v>1217.9780000000001</v>
      </c>
      <c r="M20">
        <f>N9/L20</f>
        <v>19.852575333873023</v>
      </c>
      <c r="S20">
        <f>R9/W9</f>
        <v>0.9278810570769298</v>
      </c>
      <c r="T20">
        <f>R9/T9</f>
        <v>2.1972782102170214</v>
      </c>
    </row>
    <row r="24" spans="12:21" x14ac:dyDescent="0.2">
      <c r="T24">
        <f>S2/Y2</f>
        <v>0.14726840855106887</v>
      </c>
      <c r="U24">
        <f>S2/V2</f>
        <v>0.15856777493606136</v>
      </c>
    </row>
    <row r="25" spans="12:21" x14ac:dyDescent="0.2">
      <c r="T25">
        <f>S3/Y3</f>
        <v>0.41220735785953178</v>
      </c>
      <c r="U25">
        <f>S3/V3</f>
        <v>0.46074766355140184</v>
      </c>
    </row>
    <row r="26" spans="12:21" x14ac:dyDescent="0.2">
      <c r="T26">
        <f>S4/Y4</f>
        <v>0.82128628343767796</v>
      </c>
      <c r="U26">
        <f>S4/V4</f>
        <v>0.95059288537549413</v>
      </c>
    </row>
    <row r="27" spans="12:21" x14ac:dyDescent="0.2">
      <c r="T27">
        <f>S5/Y5</f>
        <v>1.3065326633165828</v>
      </c>
      <c r="U27">
        <f>S5/V5</f>
        <v>1.624219125420471</v>
      </c>
    </row>
    <row r="28" spans="12:21" x14ac:dyDescent="0.2">
      <c r="T28">
        <f>S6/Y6</f>
        <v>1.7839116719242902</v>
      </c>
      <c r="U28">
        <f>S6/V6</f>
        <v>2.4930198383541513</v>
      </c>
    </row>
    <row r="29" spans="12:21" x14ac:dyDescent="0.2">
      <c r="T29">
        <f>S7/Y7</f>
        <v>2.3010901540058835</v>
      </c>
      <c r="U29">
        <f>S7/V7</f>
        <v>3.2058823529411766</v>
      </c>
    </row>
    <row r="30" spans="12:21" x14ac:dyDescent="0.2">
      <c r="T30">
        <f>S8/Y8</f>
        <v>2.6991171003717471</v>
      </c>
      <c r="U30">
        <f>S8/V8</f>
        <v>4.1645456174941753</v>
      </c>
    </row>
    <row r="31" spans="12:21" x14ac:dyDescent="0.2">
      <c r="P31">
        <f>SUM1toN(10)</f>
        <v>55</v>
      </c>
      <c r="T31">
        <f>S9/Y9</f>
        <v>2.8296672754704995</v>
      </c>
      <c r="U31">
        <f>S9/V9</f>
        <v>4.7696426181234104</v>
      </c>
    </row>
    <row r="32" spans="12:21" x14ac:dyDescent="0.2">
      <c r="P32">
        <f>P31*3</f>
        <v>165</v>
      </c>
    </row>
    <row r="33" spans="16:16" x14ac:dyDescent="0.2">
      <c r="P33">
        <f>SUM1toN(P32)</f>
        <v>13695</v>
      </c>
    </row>
    <row r="34" spans="16:16" x14ac:dyDescent="0.2">
      <c r="P34">
        <f>P33/P32</f>
        <v>83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2018-04-16T20:13:21Z</dcterms:created>
  <dcterms:modified xsi:type="dcterms:W3CDTF">2018-04-26T19:13:35Z</dcterms:modified>
</cp:coreProperties>
</file>